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elsvalt-my.sharepoint.com/personal/u087_gelsva_lt/Documents/Desktop/python/"/>
    </mc:Choice>
  </mc:AlternateContent>
  <xr:revisionPtr revIDLastSave="9" documentId="13_ncr:1_{369B0C6D-B7E4-40BC-8D03-848E48B3AAEA}" xr6:coauthVersionLast="47" xr6:coauthVersionMax="47" xr10:uidLastSave="{03D3F847-B107-4EEE-A1DC-E3E8F83ECC2E}"/>
  <bookViews>
    <workbookView xWindow="-120" yWindow="-120" windowWidth="29040" windowHeight="15720" xr2:uid="{00000000-000D-0000-FFFF-FFFF00000000}"/>
  </bookViews>
  <sheets>
    <sheet name="Sheet1" sheetId="1" r:id="rId1"/>
    <sheet name="Iestatījum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2" i="1"/>
</calcChain>
</file>

<file path=xl/sharedStrings.xml><?xml version="1.0" encoding="utf-8"?>
<sst xmlns="http://schemas.openxmlformats.org/spreadsheetml/2006/main" count="42" uniqueCount="41">
  <si>
    <t>Produktų skyrius</t>
  </si>
  <si>
    <t>Prekės kategorija</t>
  </si>
  <si>
    <t>Prekės grupė</t>
  </si>
  <si>
    <t>03MF342</t>
  </si>
  <si>
    <t>4860019002091</t>
  </si>
  <si>
    <t>#Borjomi gāzēts min.ūdens pet 1,25L</t>
  </si>
  <si>
    <t>NON_ALC</t>
  </si>
  <si>
    <t>WATER</t>
  </si>
  <si>
    <t>PET_CARBO</t>
  </si>
  <si>
    <t>03V787445</t>
  </si>
  <si>
    <t>3701172716559</t>
  </si>
  <si>
    <t>Koru Bay Sauvignon Blanc Marlborough baltvīns 0,75L 12,5%</t>
  </si>
  <si>
    <t>ALC</t>
  </si>
  <si>
    <t>WINE</t>
  </si>
  <si>
    <t>WHITE</t>
  </si>
  <si>
    <t>Kods</t>
  </si>
  <si>
    <t>EAN kods</t>
  </si>
  <si>
    <t>Nosaukums</t>
  </si>
  <si>
    <t>Latgales iela 400, Latgales priekšpilsēta, Rīga, LV-1063</t>
  </si>
  <si>
    <t>Vaidavas iela 9B, Vidzemes priekšpilsēta, Rīga, LV-1084</t>
  </si>
  <si>
    <t>Kalnciema iela 41, Zemgales priekšpilsēta, Rīga, LV-1046</t>
  </si>
  <si>
    <t>Stirnu iela 26, Vidzemes priekšpilsēta, Rīga, LV-1084</t>
  </si>
  <si>
    <t>Jomas iela 46, Jūrmala, LV-2015</t>
  </si>
  <si>
    <t>Lietuvas iela 44, Eleja, Elejas pagasts, LV-3023</t>
  </si>
  <si>
    <t>Krasta iela 70A, Latgales priekšpilsēta, Rīga, LV-1019</t>
  </si>
  <si>
    <t xml:space="preserve">Brīvības gatve 402C, Vidzemes priekšpilsēta, Rīga, LV-1024 </t>
  </si>
  <si>
    <t>Grostonas iela 1, Vidzemes priekšpilsēta, Rīga, LV-1013</t>
  </si>
  <si>
    <t>Grenctāles robežkontroles punkts, Brunavas pagasts, Bauskas novads, LV-3907</t>
  </si>
  <si>
    <t>Āzenes iela 5, Kurzemes rajons</t>
  </si>
  <si>
    <t>"Burtnieki", Kalkūnes pagasts, Daugavpils novads, LV-5449</t>
  </si>
  <si>
    <t>Kopā</t>
  </si>
  <si>
    <t>Parametrs</t>
  </si>
  <si>
    <t>Vērtība</t>
  </si>
  <si>
    <t>Periods</t>
  </si>
  <si>
    <t>Produkta nosaukums</t>
  </si>
  <si>
    <t>Plaukta cena ar PVN</t>
  </si>
  <si>
    <t>Iepirkuma cena bez PVN</t>
  </si>
  <si>
    <t>Koru Bay Sauvignon Blanc Marlborough baltvīns 0,75L 13%</t>
  </si>
  <si>
    <t>17.08–23.08.2026</t>
  </si>
  <si>
    <t xml:space="preserve">Biķernieku iela 21, Vidzemes priekšpilsēta, Rīga, LV-1039
</t>
  </si>
  <si>
    <t>Centra laukums 1, Ezere, Ezeres pagasts, LV-3891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</si>
</sst>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0.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186"/>
      <scheme val="minor"/>
    </font>
    <font>
      <b/>
      <sz val="12"/>
      <name val="Calibri"/>
      <family val="2"/>
      <charset val="186"/>
      <scheme val="minor"/>
    </font>
    <font>
      <b/>
      <sz val="1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2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3" fontId="0" fillId="0" borderId="1" xfId="0" applyNumberFormat="1" applyBorder="1"/>
    <xf numFmtId="0" fontId="4" fillId="3" borderId="1" xfId="1" applyFont="1" applyFill="1" applyBorder="1" applyAlignment="1">
      <alignment horizontal="center" vertical="center"/>
    </xf>
    <xf numFmtId="1" fontId="4" fillId="3" borderId="1" xfId="1" applyNumberFormat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 wrapText="1"/>
    </xf>
    <xf numFmtId="0" fontId="5" fillId="3" borderId="1" xfId="2" applyFont="1" applyFill="1" applyBorder="1" applyAlignment="1">
      <alignment horizontal="center" vertical="center" wrapText="1"/>
    </xf>
    <xf numFmtId="0" fontId="5" fillId="3" borderId="1" xfId="2" applyFont="1" applyFill="1" applyBorder="1" applyAlignment="1">
      <alignment horizont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0" borderId="0" xfId="0" applyFont="1"/>
    <xf numFmtId="164" fontId="0" fillId="0" borderId="0" xfId="0" applyNumberFormat="1"/>
  </cellXfs>
  <cellStyles count="3">
    <cellStyle name="Normal" xfId="0" builtinId="0"/>
    <cellStyle name="Normal 2" xfId="1" xr:uid="{4390E113-8763-46C0-91A6-AAA207E39C35}"/>
    <cellStyle name="Normal 2 15" xfId="2" xr:uid="{C005C09A-55E9-4DA5-BE3A-2653D1AC3D3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"/>
  <sheetViews>
    <sheetView tabSelected="1" zoomScale="85" zoomScaleNormal="85" workbookViewId="0">
      <selection activeCell="G1" sqref="G1:T1"/>
    </sheetView>
  </sheetViews>
  <sheetFormatPr defaultRowHeight="15" x14ac:dyDescent="0.25"/>
  <cols>
    <col min="1" max="8" width="15.7109375" customWidth="1"/>
  </cols>
  <sheetData>
    <row r="1" spans="1:21" ht="173.25" x14ac:dyDescent="0.25">
      <c r="A1" s="4" t="s">
        <v>15</v>
      </c>
      <c r="B1" s="5" t="s">
        <v>16</v>
      </c>
      <c r="C1" s="4" t="s">
        <v>17</v>
      </c>
      <c r="D1" s="2" t="s">
        <v>0</v>
      </c>
      <c r="E1" s="2" t="s">
        <v>1</v>
      </c>
      <c r="F1" s="2" t="s">
        <v>2</v>
      </c>
      <c r="G1" s="6" t="s">
        <v>18</v>
      </c>
      <c r="H1" s="7" t="s">
        <v>19</v>
      </c>
      <c r="I1" s="7" t="s">
        <v>20</v>
      </c>
      <c r="J1" s="7" t="s">
        <v>21</v>
      </c>
      <c r="K1" s="7" t="s">
        <v>22</v>
      </c>
      <c r="L1" s="7" t="s">
        <v>23</v>
      </c>
      <c r="M1" s="7" t="s">
        <v>24</v>
      </c>
      <c r="N1" s="8" t="s">
        <v>39</v>
      </c>
      <c r="O1" s="7" t="s">
        <v>25</v>
      </c>
      <c r="P1" s="7" t="s">
        <v>26</v>
      </c>
      <c r="Q1" s="7" t="s">
        <v>27</v>
      </c>
      <c r="R1" s="7" t="s">
        <v>28</v>
      </c>
      <c r="S1" s="7" t="s">
        <v>40</v>
      </c>
      <c r="T1" s="7" t="s">
        <v>29</v>
      </c>
      <c r="U1" s="9" t="s">
        <v>30</v>
      </c>
    </row>
    <row r="2" spans="1:21" x14ac:dyDescent="0.25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3">
        <v>9</v>
      </c>
      <c r="H2" s="3">
        <v>13</v>
      </c>
      <c r="I2" s="3">
        <v>16</v>
      </c>
      <c r="J2" s="3">
        <v>16</v>
      </c>
      <c r="K2" s="3">
        <v>18</v>
      </c>
      <c r="L2" s="3">
        <v>31</v>
      </c>
      <c r="M2" s="3">
        <v>55</v>
      </c>
      <c r="N2" s="3">
        <v>6</v>
      </c>
      <c r="O2" s="3">
        <v>22</v>
      </c>
      <c r="P2" s="3">
        <v>25</v>
      </c>
      <c r="Q2" s="3">
        <v>18</v>
      </c>
      <c r="R2" s="3">
        <v>14</v>
      </c>
      <c r="S2" s="3">
        <v>3</v>
      </c>
      <c r="T2" s="3">
        <v>1</v>
      </c>
      <c r="U2" s="3">
        <f>SUM(G2:T2)</f>
        <v>247</v>
      </c>
    </row>
    <row r="3" spans="1:21" x14ac:dyDescent="0.25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  <c r="F3" s="1" t="s">
        <v>14</v>
      </c>
      <c r="G3" s="3">
        <v>0</v>
      </c>
      <c r="H3" s="3">
        <v>1</v>
      </c>
      <c r="I3" s="3">
        <v>7</v>
      </c>
      <c r="J3" s="3">
        <v>0</v>
      </c>
      <c r="K3" s="3">
        <v>1</v>
      </c>
      <c r="L3" s="3">
        <v>4</v>
      </c>
      <c r="M3" s="3">
        <v>7</v>
      </c>
      <c r="N3" s="3">
        <v>6</v>
      </c>
      <c r="O3" s="3">
        <v>2</v>
      </c>
      <c r="P3" s="3">
        <v>1</v>
      </c>
      <c r="Q3" s="3">
        <v>0</v>
      </c>
      <c r="R3" s="3">
        <v>3</v>
      </c>
      <c r="S3" s="3">
        <v>0</v>
      </c>
      <c r="T3" s="3">
        <v>0</v>
      </c>
      <c r="U3" s="3">
        <f>SUM(G3:T3)</f>
        <v>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A9427-354D-4482-A7AD-D1FC10775B5F}">
  <dimension ref="A1:C6"/>
  <sheetViews>
    <sheetView workbookViewId="0">
      <selection activeCell="B6" sqref="B6"/>
    </sheetView>
  </sheetViews>
  <sheetFormatPr defaultRowHeight="15" x14ac:dyDescent="0.25"/>
  <cols>
    <col min="1" max="1" width="52.85546875" bestFit="1" customWidth="1"/>
    <col min="2" max="2" width="18.85546875" bestFit="1" customWidth="1"/>
    <col min="3" max="3" width="22.85546875" bestFit="1" customWidth="1"/>
  </cols>
  <sheetData>
    <row r="1" spans="1:3" x14ac:dyDescent="0.25">
      <c r="A1" s="10" t="s">
        <v>31</v>
      </c>
      <c r="B1" s="10" t="s">
        <v>32</v>
      </c>
      <c r="C1" s="10"/>
    </row>
    <row r="2" spans="1:3" x14ac:dyDescent="0.25">
      <c r="A2" t="s">
        <v>33</v>
      </c>
      <c r="B2" t="s">
        <v>38</v>
      </c>
    </row>
    <row r="4" spans="1:3" x14ac:dyDescent="0.25">
      <c r="A4" s="10" t="s">
        <v>34</v>
      </c>
      <c r="B4" s="10" t="s">
        <v>35</v>
      </c>
      <c r="C4" s="10" t="s">
        <v>36</v>
      </c>
    </row>
    <row r="5" spans="1:3" x14ac:dyDescent="0.25">
      <c r="A5" t="s">
        <v>37</v>
      </c>
      <c r="B5" s="11">
        <v>5.99</v>
      </c>
      <c r="C5" s="11">
        <v>3.0281000000000002</v>
      </c>
    </row>
    <row r="6" spans="1:3" x14ac:dyDescent="0.25">
      <c r="A6" t="s">
        <v>5</v>
      </c>
      <c r="B6" s="11">
        <v>2.29</v>
      </c>
      <c r="C6" s="11">
        <v>1.5109999999999999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Iestatījumi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Deniss Strogonovs</cp:lastModifiedBy>
  <dcterms:created xsi:type="dcterms:W3CDTF">2026-09-01T08:13:52Z</dcterms:created>
  <dcterms:modified xsi:type="dcterms:W3CDTF">2026-09-01T10:21:46Z</dcterms:modified>
</cp:coreProperties>
</file>