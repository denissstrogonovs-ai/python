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lsvalt-my.sharepoint.com/personal/u087_gelsva_lt/Documents/Desktop/python/"/>
    </mc:Choice>
  </mc:AlternateContent>
  <xr:revisionPtr revIDLastSave="68" documentId="11_455FE02DEA73FC0327D0D3F114FB421ECD3234A9" xr6:coauthVersionLast="47" xr6:coauthVersionMax="47" xr10:uidLastSave="{7BD62EAA-47FA-4083-BD6D-7DECF67C0B13}"/>
  <bookViews>
    <workbookView xWindow="-120" yWindow="-120" windowWidth="29040" windowHeight="15720" activeTab="1" xr2:uid="{00000000-000D-0000-FFFF-FFFF00000000}"/>
  </bookViews>
  <sheets>
    <sheet name="Sheet1" sheetId="1" r:id="rId1"/>
    <sheet name="Iestatījumi" sheetId="2" r:id="rId2"/>
  </sheets>
  <definedNames>
    <definedName name="_xlnm._FilterDatabase" localSheetId="0" hidden="1">Sheet1!$A$1:$V$1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W3" i="1" s="1"/>
  <c r="U2" i="1"/>
  <c r="W2" i="1" s="1"/>
  <c r="V2" i="1"/>
  <c r="V3" i="1"/>
</calcChain>
</file>

<file path=xl/sharedStrings.xml><?xml version="1.0" encoding="utf-8"?>
<sst xmlns="http://schemas.openxmlformats.org/spreadsheetml/2006/main" count="45" uniqueCount="43">
  <si>
    <t>Kods</t>
  </si>
  <si>
    <t>EAN kods</t>
  </si>
  <si>
    <t>Nosaukums</t>
  </si>
  <si>
    <t>Produktų skyrius</t>
  </si>
  <si>
    <t>Prekės kategorija</t>
  </si>
  <si>
    <t>Prekės grupė</t>
  </si>
  <si>
    <t>Latgales iela 400, Latgales priekšpilsēta, Rīga, LV-1063 | 4 nedēļas kopā</t>
  </si>
  <si>
    <t>Vaidavas iela 9B, Vidzemes priekšpilsēta, Rīga, LV-1084 | 4 nedēļas kopā</t>
  </si>
  <si>
    <t>Kalnciema iela 41, Zemgales priekšpilsēta, Rīga, LV-1046 | 4 nedēļas kopā</t>
  </si>
  <si>
    <t>Stirnu iela 26, Vidzemes priekšpilsēta, Rīga, LV-1084 | 4 nedēļas kopā</t>
  </si>
  <si>
    <t>Jomas iela 46, Jūrmala, LV-2015 | 4 nedēļas kopā</t>
  </si>
  <si>
    <t>Lietuvas iela 44, Eleja, Elejas pagasts, LV-3023 | 4 nedēļas kopā</t>
  </si>
  <si>
    <t>Krasta iela 70A, Latgales priekšpilsēta, Rīga, LV-1019 | 4 nedēļas kopā</t>
  </si>
  <si>
    <t>Biķernieku iela 21, Vidzemes priekšpilsēta, Rīga, LV-1039 | 4 nedēļas kopā</t>
  </si>
  <si>
    <t>Brīvības gatve 402C, Vidzemes priekšpilsēta, Rīga, LV-1024 | 4 nedēļas kopā</t>
  </si>
  <si>
    <t>Grostonas iela 1, Vidzemes priekšpilsēta, Rīga, LV-1013 | 4 nedēļas kopā</t>
  </si>
  <si>
    <t>Grenctāle, Robežkontroles punkts, Brunavas pagasts, Bauskas novads, LV-3907 | 4 nedēļas kopā</t>
  </si>
  <si>
    <t>Āzenes iela 5, Kurzemes rajons | 4 nedēļas kopā</t>
  </si>
  <si>
    <t>Centra laukums 1, Ezere, Ezeres pagasts, LV-3891 | 4 nedēļas kopā</t>
  </si>
  <si>
    <t>"Burtnieki", Kalkūnes pagasts, Daugavpils novads, LV-5449 | 4 nedēļas kopā</t>
  </si>
  <si>
    <t>Kopā | 4 nedēļas kopā</t>
  </si>
  <si>
    <t>4 nedēļu vidējais</t>
  </si>
  <si>
    <t>ALC</t>
  </si>
  <si>
    <t>Parametrs</t>
  </si>
  <si>
    <t>Vērtība</t>
  </si>
  <si>
    <t>Book_previous ievade</t>
  </si>
  <si>
    <t>Ievadi katra veikala PĀRDOTO GABALU KOPĀ par pēdējām 4 nedēļām</t>
  </si>
  <si>
    <t>Aprēķins</t>
  </si>
  <si>
    <t>Programma pati sadala 4 nedēļu kopējo daudzumu ar 4 un salīdzina ar pašreizējo nedēļu</t>
  </si>
  <si>
    <t>Produkta nosaukums</t>
  </si>
  <si>
    <t>Plaukta cena ar PVN</t>
  </si>
  <si>
    <t>Iepirkuma cena bez PVN</t>
  </si>
  <si>
    <t>FOOD</t>
  </si>
  <si>
    <t>FISH</t>
  </si>
  <si>
    <t>PRESERV</t>
  </si>
  <si>
    <t>BEER</t>
  </si>
  <si>
    <t>BOT_ALE</t>
  </si>
  <si>
    <t>CH1000645</t>
  </si>
  <si>
    <t>9002859051753</t>
  </si>
  <si>
    <t>Sardīnes saulespuķu eļļā 115g</t>
  </si>
  <si>
    <t>LV014398</t>
  </si>
  <si>
    <t>4750142005062</t>
  </si>
  <si>
    <t>#Cēsu Brūža nefiltrets alus can 0,568L 5,4%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</si>
</sst>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b/>
      <sz val="11"/>
      <name val="Calibri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1" xfId="0" applyBorder="1"/>
    <xf numFmtId="0" fontId="3" fillId="0" borderId="0" xfId="0" applyFont="1"/>
    <xf numFmtId="164" fontId="0" fillId="0" borderId="0" xfId="0" applyNumberFormat="1"/>
    <xf numFmtId="0" fontId="4" fillId="2" borderId="1" xfId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15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zoomScale="55" zoomScaleNormal="55" workbookViewId="0">
      <pane ySplit="1" topLeftCell="A2" activePane="bottomLeft" state="frozen"/>
      <selection pane="bottomLeft" activeCell="W2" sqref="W2"/>
    </sheetView>
  </sheetViews>
  <sheetFormatPr defaultRowHeight="15" x14ac:dyDescent="0.25"/>
  <cols>
    <col min="1" max="2" width="22" style="10" customWidth="1"/>
    <col min="3" max="3" width="55.140625" bestFit="1" customWidth="1"/>
    <col min="4" max="6" width="22" style="10" customWidth="1"/>
    <col min="7" max="22" width="16" style="10" customWidth="1"/>
    <col min="23" max="67" width="16" customWidth="1"/>
  </cols>
  <sheetData>
    <row r="1" spans="1:67" ht="173.25" customHeight="1" x14ac:dyDescent="0.25">
      <c r="A1" s="4" t="s">
        <v>0</v>
      </c>
      <c r="B1" s="5" t="s">
        <v>1</v>
      </c>
      <c r="C1" s="4" t="s">
        <v>2</v>
      </c>
      <c r="D1" s="12" t="s">
        <v>3</v>
      </c>
      <c r="E1" s="12" t="s">
        <v>4</v>
      </c>
      <c r="F1" s="12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4" t="s">
        <v>20</v>
      </c>
      <c r="V1" s="12" t="s">
        <v>21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x14ac:dyDescent="0.25">
      <c r="A2" s="11" t="s">
        <v>37</v>
      </c>
      <c r="B2" s="11" t="s">
        <v>38</v>
      </c>
      <c r="C2" s="1" t="s">
        <v>39</v>
      </c>
      <c r="D2" s="11" t="s">
        <v>32</v>
      </c>
      <c r="E2" s="11" t="s">
        <v>33</v>
      </c>
      <c r="F2" s="11" t="s">
        <v>34</v>
      </c>
      <c r="G2" s="8">
        <v>4</v>
      </c>
      <c r="H2" s="8">
        <v>2</v>
      </c>
      <c r="I2" s="8">
        <v>29</v>
      </c>
      <c r="J2" s="8">
        <v>18</v>
      </c>
      <c r="K2" s="8">
        <v>446</v>
      </c>
      <c r="L2" s="8">
        <v>51</v>
      </c>
      <c r="M2" s="8">
        <v>106</v>
      </c>
      <c r="N2" s="8">
        <v>26</v>
      </c>
      <c r="O2" s="8">
        <v>18</v>
      </c>
      <c r="P2" s="8">
        <v>13</v>
      </c>
      <c r="Q2" s="8">
        <v>74</v>
      </c>
      <c r="R2" s="8">
        <v>18</v>
      </c>
      <c r="S2" s="8">
        <v>70</v>
      </c>
      <c r="T2" s="8">
        <v>9</v>
      </c>
      <c r="U2" s="8">
        <f>SUM(G2:T2)</f>
        <v>884</v>
      </c>
      <c r="V2" s="9">
        <f>AVERAGE(G2,H2,I2,J2,K2,L2,M2,N2,O2,P2,Q2,R2,S2,T2,U2)/4</f>
        <v>29.466666666666665</v>
      </c>
      <c r="W2">
        <f>U2/4</f>
        <v>221</v>
      </c>
    </row>
    <row r="3" spans="1:67" x14ac:dyDescent="0.25">
      <c r="A3" s="11" t="s">
        <v>40</v>
      </c>
      <c r="B3" s="11" t="s">
        <v>41</v>
      </c>
      <c r="C3" s="1" t="s">
        <v>42</v>
      </c>
      <c r="D3" s="11" t="s">
        <v>22</v>
      </c>
      <c r="E3" s="11" t="s">
        <v>35</v>
      </c>
      <c r="F3" s="11" t="s">
        <v>36</v>
      </c>
      <c r="G3" s="8">
        <v>113</v>
      </c>
      <c r="H3" s="8">
        <v>145</v>
      </c>
      <c r="I3" s="8">
        <v>249</v>
      </c>
      <c r="J3" s="8">
        <v>84</v>
      </c>
      <c r="K3" s="8">
        <v>140</v>
      </c>
      <c r="L3" s="8">
        <v>479</v>
      </c>
      <c r="M3" s="8">
        <v>127</v>
      </c>
      <c r="N3" s="8">
        <v>120</v>
      </c>
      <c r="O3" s="8">
        <v>292</v>
      </c>
      <c r="P3" s="8">
        <v>155</v>
      </c>
      <c r="Q3" s="8">
        <v>421</v>
      </c>
      <c r="R3" s="8">
        <v>149</v>
      </c>
      <c r="S3" s="8">
        <v>402</v>
      </c>
      <c r="T3" s="8">
        <v>149</v>
      </c>
      <c r="U3" s="8">
        <f>SUM(G3:T3)</f>
        <v>3025</v>
      </c>
      <c r="V3" s="9">
        <f>AVERAGE(G3,H3,I3,J3,K3,L3,M3,N3,O3,P3,Q3,R3,S3,T3,U3)/4</f>
        <v>100.83333333333333</v>
      </c>
      <c r="W3">
        <f>U3/4</f>
        <v>756.25</v>
      </c>
    </row>
  </sheetData>
  <autoFilter ref="A1:V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C5" sqref="C5:C6"/>
    </sheetView>
  </sheetViews>
  <sheetFormatPr defaultRowHeight="15" x14ac:dyDescent="0.25"/>
  <cols>
    <col min="1" max="1" width="52.85546875" bestFit="1" customWidth="1"/>
    <col min="2" max="2" width="18.85546875" bestFit="1" customWidth="1"/>
    <col min="3" max="3" width="22.85546875" bestFit="1" customWidth="1"/>
  </cols>
  <sheetData>
    <row r="1" spans="1:3" x14ac:dyDescent="0.25">
      <c r="A1" s="2" t="s">
        <v>23</v>
      </c>
      <c r="B1" s="2" t="s">
        <v>24</v>
      </c>
      <c r="C1" s="2"/>
    </row>
    <row r="2" spans="1:3" x14ac:dyDescent="0.25">
      <c r="A2" t="s">
        <v>25</v>
      </c>
      <c r="B2" t="s">
        <v>26</v>
      </c>
    </row>
    <row r="3" spans="1:3" x14ac:dyDescent="0.25">
      <c r="A3" t="s">
        <v>27</v>
      </c>
      <c r="B3" t="s">
        <v>28</v>
      </c>
    </row>
    <row r="4" spans="1:3" x14ac:dyDescent="0.25">
      <c r="A4" s="2" t="s">
        <v>29</v>
      </c>
      <c r="B4" s="2" t="s">
        <v>30</v>
      </c>
      <c r="C4" s="2" t="s">
        <v>31</v>
      </c>
    </row>
    <row r="5" spans="1:3" ht="15.75" customHeight="1" x14ac:dyDescent="0.25">
      <c r="A5" s="1" t="s">
        <v>39</v>
      </c>
      <c r="B5" s="3">
        <v>1.99</v>
      </c>
      <c r="C5" s="3">
        <v>0.91</v>
      </c>
    </row>
    <row r="6" spans="1:3" ht="15.75" customHeight="1" x14ac:dyDescent="0.25">
      <c r="A6" s="1" t="s">
        <v>42</v>
      </c>
      <c r="B6" s="3">
        <v>1.19</v>
      </c>
      <c r="C6" s="3">
        <v>0.86392000000000002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Iestatījumi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Deniss Strogonovs</cp:lastModifiedBy>
  <dcterms:created xsi:type="dcterms:W3CDTF">2026-09-01T08:13:52Z</dcterms:created>
  <dcterms:modified xsi:type="dcterms:W3CDTF">2026-09-07T08:15:42Z</dcterms:modified>
</cp:coreProperties>
</file>